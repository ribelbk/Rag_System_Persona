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I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9" customWidth="1" min="3" max="3"/>
    <col width="13" customWidth="1" min="4" max="4"/>
    <col width="13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Catégorie</t>
        </is>
      </c>
      <c r="B1" s="1" t="inlineStr">
        <is>
          <t>Sous-catégorie</t>
        </is>
      </c>
      <c r="C1" s="1" t="inlineStr">
        <is>
          <t>Budget Annuel (€)</t>
        </is>
      </c>
      <c r="D1" s="1" t="inlineStr">
        <is>
          <t>Q1 Consommé</t>
        </is>
      </c>
      <c r="E1" s="1" t="inlineStr">
        <is>
          <t>Q2 Consommé</t>
        </is>
      </c>
      <c r="F1" s="1" t="inlineStr">
        <is>
          <t>Total Consommé</t>
        </is>
      </c>
      <c r="G1" s="1" t="inlineStr">
        <is>
          <t>Restant</t>
        </is>
      </c>
      <c r="H1" s="1" t="inlineStr">
        <is>
          <t>% Consommé</t>
        </is>
      </c>
    </row>
    <row r="2">
      <c r="A2" t="inlineStr">
        <is>
          <t>AWS Infrastructure</t>
        </is>
      </c>
      <c r="B2" t="inlineStr">
        <is>
          <t>EC2 + EKS</t>
        </is>
      </c>
      <c r="C2" t="n">
        <v>80000</v>
      </c>
      <c r="D2" t="n">
        <v>19500</v>
      </c>
      <c r="E2" t="n">
        <v>20100</v>
      </c>
      <c r="F2">
        <f>D2+E2</f>
        <v/>
      </c>
      <c r="G2">
        <f>C2-F2</f>
        <v/>
      </c>
      <c r="H2" s="2">
        <f>F2/C2</f>
        <v/>
      </c>
    </row>
    <row r="3">
      <c r="A3" t="inlineStr">
        <is>
          <t>AWS Infrastructure</t>
        </is>
      </c>
      <c r="B3" t="inlineStr">
        <is>
          <t>RDS + ElastiCache</t>
        </is>
      </c>
      <c r="C3" t="n">
        <v>45000</v>
      </c>
      <c r="D3" t="n">
        <v>11200</v>
      </c>
      <c r="E3" t="n">
        <v>11800</v>
      </c>
      <c r="F3">
        <f>D3+E3</f>
        <v/>
      </c>
      <c r="G3">
        <f>C3-F3</f>
        <v/>
      </c>
      <c r="H3" s="2">
        <f>F3/C3</f>
        <v/>
      </c>
    </row>
    <row r="4">
      <c r="A4" t="inlineStr">
        <is>
          <t>AWS Infrastructure</t>
        </is>
      </c>
      <c r="B4" t="inlineStr">
        <is>
          <t>S3 + Transfer</t>
        </is>
      </c>
      <c r="C4" t="n">
        <v>20000</v>
      </c>
      <c r="D4" t="n">
        <v>4800</v>
      </c>
      <c r="E4" t="n">
        <v>5100</v>
      </c>
      <c r="F4">
        <f>D4+E4</f>
        <v/>
      </c>
      <c r="G4">
        <f>C4-F4</f>
        <v/>
      </c>
      <c r="H4" s="2">
        <f>F4/C4</f>
        <v/>
      </c>
    </row>
    <row r="5">
      <c r="A5" t="inlineStr">
        <is>
          <t>AWS Infrastructure</t>
        </is>
      </c>
      <c r="B5" t="inlineStr">
        <is>
          <t>Réseau (ALB, Route53, VPN)</t>
        </is>
      </c>
      <c r="C5" t="n">
        <v>15000</v>
      </c>
      <c r="D5" t="n">
        <v>3700</v>
      </c>
      <c r="E5" t="n">
        <v>3800</v>
      </c>
      <c r="F5">
        <f>D5+E5</f>
        <v/>
      </c>
      <c r="G5">
        <f>C5-F5</f>
        <v/>
      </c>
      <c r="H5" s="2">
        <f>F5/C5</f>
        <v/>
      </c>
    </row>
    <row r="6">
      <c r="A6" t="inlineStr">
        <is>
          <t>AWS Infrastructure</t>
        </is>
      </c>
      <c r="B6" t="inlineStr">
        <is>
          <t>Divers services AWS</t>
        </is>
      </c>
      <c r="C6" t="n">
        <v>20000</v>
      </c>
      <c r="D6" t="n">
        <v>4900</v>
      </c>
      <c r="E6" t="n">
        <v>5100</v>
      </c>
      <c r="F6">
        <f>D6+E6</f>
        <v/>
      </c>
      <c r="G6">
        <f>C6-F6</f>
        <v/>
      </c>
      <c r="H6" s="2">
        <f>F6/C6</f>
        <v/>
      </c>
    </row>
    <row r="7">
      <c r="A7" t="inlineStr">
        <is>
          <t>Licences</t>
        </is>
      </c>
      <c r="B7" t="inlineStr">
        <is>
          <t>Datadog (monitoring)</t>
        </is>
      </c>
      <c r="C7" t="n">
        <v>28000</v>
      </c>
      <c r="D7" t="n">
        <v>14000</v>
      </c>
      <c r="E7" t="n">
        <v>14000</v>
      </c>
      <c r="F7">
        <f>D7+E7</f>
        <v/>
      </c>
      <c r="G7">
        <f>C7-F7</f>
        <v/>
      </c>
      <c r="H7" s="2">
        <f>F7/C7</f>
        <v/>
      </c>
    </row>
    <row r="8">
      <c r="A8" t="inlineStr">
        <is>
          <t>Licences</t>
        </is>
      </c>
      <c r="B8" t="inlineStr">
        <is>
          <t>PagerDuty (on-call)</t>
        </is>
      </c>
      <c r="C8" t="n">
        <v>12000</v>
      </c>
      <c r="D8" t="n">
        <v>6000</v>
      </c>
      <c r="E8" t="n">
        <v>6000</v>
      </c>
      <c r="F8">
        <f>D8+E8</f>
        <v/>
      </c>
      <c r="G8">
        <f>C8-F8</f>
        <v/>
      </c>
      <c r="H8" s="2">
        <f>F8/C8</f>
        <v/>
      </c>
    </row>
    <row r="9">
      <c r="A9" t="inlineStr">
        <is>
          <t>Licences</t>
        </is>
      </c>
      <c r="B9" t="inlineStr">
        <is>
          <t>GitLab CI/CD</t>
        </is>
      </c>
      <c r="C9" t="n">
        <v>15000</v>
      </c>
      <c r="D9" t="n">
        <v>7500</v>
      </c>
      <c r="E9" t="n">
        <v>7500</v>
      </c>
      <c r="F9">
        <f>D9+E9</f>
        <v/>
      </c>
      <c r="G9">
        <f>C9-F9</f>
        <v/>
      </c>
      <c r="H9" s="2">
        <f>F9/C9</f>
        <v/>
      </c>
    </row>
    <row r="10">
      <c r="A10" t="inlineStr">
        <is>
          <t>Licences</t>
        </is>
      </c>
      <c r="B10" t="inlineStr">
        <is>
          <t>Jira + Confluence</t>
        </is>
      </c>
      <c r="C10" t="n">
        <v>10000</v>
      </c>
      <c r="D10" t="n">
        <v>5000</v>
      </c>
      <c r="E10" t="n">
        <v>5000</v>
      </c>
      <c r="F10">
        <f>D10+E10</f>
        <v/>
      </c>
      <c r="G10">
        <f>C10-F10</f>
        <v/>
      </c>
      <c r="H10" s="2">
        <f>F10/C10</f>
        <v/>
      </c>
    </row>
    <row r="11">
      <c r="A11" t="inlineStr">
        <is>
          <t>Projets</t>
        </is>
      </c>
      <c r="B11" t="inlineStr">
        <is>
          <t>Zero Trust (Cloudflare)</t>
        </is>
      </c>
      <c r="C11" t="n">
        <v>40000</v>
      </c>
      <c r="D11" t="n">
        <v>0</v>
      </c>
      <c r="E11" t="n">
        <v>5000</v>
      </c>
      <c r="F11">
        <f>D11+E11</f>
        <v/>
      </c>
      <c r="G11">
        <f>C11-F11</f>
        <v/>
      </c>
      <c r="H11" s="2">
        <f>F11/C11</f>
        <v/>
      </c>
    </row>
    <row r="12">
      <c r="A12" t="inlineStr">
        <is>
          <t>Projets</t>
        </is>
      </c>
      <c r="B12" t="inlineStr">
        <is>
          <t>DR Plan multi-région</t>
        </is>
      </c>
      <c r="C12" t="n">
        <v>35000</v>
      </c>
      <c r="D12" t="n">
        <v>0</v>
      </c>
      <c r="E12" t="n">
        <v>0</v>
      </c>
      <c r="F12">
        <f>D12+E12</f>
        <v/>
      </c>
      <c r="G12">
        <f>C12-F12</f>
        <v/>
      </c>
      <c r="H12" s="2">
        <f>F12/C12</f>
        <v/>
      </c>
    </row>
    <row r="13">
      <c r="A13" t="inlineStr">
        <is>
          <t>Projets</t>
        </is>
      </c>
      <c r="B13" t="inlineStr">
        <is>
          <t>SOC 2 Type II</t>
        </is>
      </c>
      <c r="C13" t="n">
        <v>50000</v>
      </c>
      <c r="D13" t="n">
        <v>0</v>
      </c>
      <c r="E13" t="n">
        <v>0</v>
      </c>
      <c r="F13">
        <f>D13+E13</f>
        <v/>
      </c>
      <c r="G13">
        <f>C13-F13</f>
        <v/>
      </c>
      <c r="H13" s="2">
        <f>F13/C13</f>
        <v/>
      </c>
    </row>
    <row r="14">
      <c r="A14" t="inlineStr">
        <is>
          <t>Projets</t>
        </is>
      </c>
      <c r="B14" t="inlineStr">
        <is>
          <t>Platform Engineering</t>
        </is>
      </c>
      <c r="C14" t="n">
        <v>30000</v>
      </c>
      <c r="D14" t="n">
        <v>5000</v>
      </c>
      <c r="E14" t="n">
        <v>8000</v>
      </c>
      <c r="F14">
        <f>D14+E14</f>
        <v/>
      </c>
      <c r="G14">
        <f>C14-F14</f>
        <v/>
      </c>
      <c r="H14" s="2">
        <f>F14/C14</f>
        <v/>
      </c>
    </row>
    <row r="15">
      <c r="A15" t="inlineStr">
        <is>
          <t>Sécurité</t>
        </is>
      </c>
      <c r="B15" t="inlineStr">
        <is>
          <t>Audit externe</t>
        </is>
      </c>
      <c r="C15" t="n">
        <v>25000</v>
      </c>
      <c r="D15" t="n">
        <v>0</v>
      </c>
      <c r="E15" t="n">
        <v>25000</v>
      </c>
      <c r="F15">
        <f>D15+E15</f>
        <v/>
      </c>
      <c r="G15">
        <f>C15-F15</f>
        <v/>
      </c>
      <c r="H15" s="2">
        <f>F15/C15</f>
        <v/>
      </c>
    </row>
    <row r="16">
      <c r="A16" t="inlineStr">
        <is>
          <t>Sécurité</t>
        </is>
      </c>
      <c r="B16" t="inlineStr">
        <is>
          <t>Pentest annuel</t>
        </is>
      </c>
      <c r="C16" t="n">
        <v>15000</v>
      </c>
      <c r="D16" t="n">
        <v>0</v>
      </c>
      <c r="E16" t="n">
        <v>0</v>
      </c>
      <c r="F16">
        <f>D16+E16</f>
        <v/>
      </c>
      <c r="G16">
        <f>C16-F16</f>
        <v/>
      </c>
      <c r="H16" s="2">
        <f>F16/C16</f>
        <v/>
      </c>
    </row>
    <row r="17">
      <c r="A17" t="inlineStr">
        <is>
          <t>Sécurité</t>
        </is>
      </c>
      <c r="B17" t="inlineStr">
        <is>
          <t>Outils sécurité divers</t>
        </is>
      </c>
      <c r="C17" t="n">
        <v>10000</v>
      </c>
      <c r="D17" t="n">
        <v>2500</v>
      </c>
      <c r="E17" t="n">
        <v>2500</v>
      </c>
      <c r="F17">
        <f>D17+E17</f>
        <v/>
      </c>
      <c r="G17">
        <f>C17-F17</f>
        <v/>
      </c>
      <c r="H17" s="2">
        <f>F17/C17</f>
        <v/>
      </c>
    </row>
    <row r="18">
      <c r="A18" t="inlineStr">
        <is>
          <t>Formation</t>
        </is>
      </c>
      <c r="B18" t="inlineStr">
        <is>
          <t>Certifications AWS/K8s</t>
        </is>
      </c>
      <c r="C18" t="n">
        <v>12000</v>
      </c>
      <c r="D18" t="n">
        <v>3000</v>
      </c>
      <c r="E18" t="n">
        <v>2000</v>
      </c>
      <c r="F18">
        <f>D18+E18</f>
        <v/>
      </c>
      <c r="G18">
        <f>C18-F18</f>
        <v/>
      </c>
      <c r="H18" s="2">
        <f>F18/C18</f>
        <v/>
      </c>
    </row>
    <row r="19">
      <c r="A19" t="inlineStr">
        <is>
          <t>Formation</t>
        </is>
      </c>
      <c r="B19" t="inlineStr">
        <is>
          <t>Formations sécurité</t>
        </is>
      </c>
      <c r="C19" t="n">
        <v>8000</v>
      </c>
      <c r="D19" t="n">
        <v>1500</v>
      </c>
      <c r="E19" t="n">
        <v>1500</v>
      </c>
      <c r="F19">
        <f>D19+E19</f>
        <v/>
      </c>
      <c r="G19">
        <f>C19-F19</f>
        <v/>
      </c>
      <c r="H19" s="2">
        <f>F19/C19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2026-02-27T03:43:32Z</dcterms:created>
  <dcterms:modified xmlns:dcterms="http://purl.org/dc/terms/" xmlns:xsi="http://www.w3.org/2001/XMLSchema-instance" xsi:type="dcterms:W3CDTF">2026-02-27T03:43:32Z</dcterms:modified>
</cp:coreProperties>
</file>